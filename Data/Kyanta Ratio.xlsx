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Jawn" sheetId="2" r:id="rId5"/>
    <sheet state="visible" name="Tension" sheetId="3" r:id="rId6"/>
    <sheet state="visible" name="Cosmic" sheetId="4" r:id="rId7"/>
    <sheet state="visible" name="Manual" sheetId="5" r:id="rId8"/>
    <sheet state="visible" name="Average" sheetId="6" r:id="rId9"/>
    <sheet state="visible" name="Sheet9" sheetId="7" r:id="rId10"/>
    <sheet state="visible" name="CONTROL" sheetId="8" r:id="rId11"/>
  </sheets>
  <definedNames>
    <definedName hidden="1" localSheetId="4" name="_xlnm._FilterDatabase">Manual!$A$1:$E$32</definedName>
  </definedNames>
  <calcPr/>
</workbook>
</file>

<file path=xl/sharedStrings.xml><?xml version="1.0" encoding="utf-8"?>
<sst xmlns="http://schemas.openxmlformats.org/spreadsheetml/2006/main" count="198" uniqueCount="44">
  <si>
    <t>Hisomi</t>
  </si>
  <si>
    <t>Tsuki</t>
  </si>
  <si>
    <t>Gyanta</t>
  </si>
  <si>
    <t>Sendou</t>
  </si>
  <si>
    <t>Hatoyan</t>
  </si>
  <si>
    <t>Chihiro</t>
  </si>
  <si>
    <t>Rare</t>
  </si>
  <si>
    <t>Anna</t>
  </si>
  <si>
    <t>Cocorn</t>
  </si>
  <si>
    <t>Myusha</t>
  </si>
  <si>
    <t>M. Michelle</t>
  </si>
  <si>
    <t>Kyanta</t>
  </si>
  <si>
    <t>Michelle</t>
  </si>
  <si>
    <t>Natanee</t>
  </si>
  <si>
    <t>Investigator Azuma</t>
  </si>
  <si>
    <t>Nanatsu</t>
  </si>
  <si>
    <t>Blues</t>
  </si>
  <si>
    <t>Well Done</t>
  </si>
  <si>
    <t>Rogue</t>
  </si>
  <si>
    <t>K. Kyanta</t>
  </si>
  <si>
    <t>Jakor</t>
  </si>
  <si>
    <t>Spike</t>
  </si>
  <si>
    <t>Garasha</t>
  </si>
  <si>
    <t>Zacky Wild</t>
  </si>
  <si>
    <t>Robo Azuma</t>
  </si>
  <si>
    <t>Buttobi</t>
  </si>
  <si>
    <t>Kinoko</t>
  </si>
  <si>
    <t>Taro</t>
  </si>
  <si>
    <t>Masao</t>
  </si>
  <si>
    <t>Masako</t>
  </si>
  <si>
    <t>Dr. K</t>
  </si>
  <si>
    <t>Character</t>
  </si>
  <si>
    <t>Jawn</t>
  </si>
  <si>
    <t>Tension</t>
  </si>
  <si>
    <t>Cosmic</t>
  </si>
  <si>
    <t>Rounded Total</t>
  </si>
  <si>
    <t>Average Total</t>
  </si>
  <si>
    <t>Tier</t>
  </si>
  <si>
    <t>Stamina</t>
  </si>
  <si>
    <t>Super</t>
  </si>
  <si>
    <t>EX</t>
  </si>
  <si>
    <t>Demon</t>
  </si>
  <si>
    <t>Speed</t>
  </si>
  <si>
    <t>Parry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</si>
</sst>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1">
        <v>4.0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">
        <v>3.0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1">
        <v>2.0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1">
        <v>1.0</v>
      </c>
      <c r="B5" s="2"/>
      <c r="C5" s="2"/>
      <c r="D5" s="2"/>
      <c r="E5" s="2"/>
      <c r="F5" s="2"/>
      <c r="G5" s="2"/>
      <c r="H5" s="2"/>
      <c r="I5" s="2"/>
      <c r="J5" s="2"/>
      <c r="K5" s="2"/>
    </row>
  </sheetData>
  <dataValidations>
    <dataValidation type="list" allowBlank="1" showErrorMessage="1" sqref="B1:K5">
      <formula1>CONTROL!$A$1:$A$32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2.13"/>
    <col customWidth="1" min="3" max="3" width="11.13"/>
    <col customWidth="1" min="4" max="4" width="12.25"/>
    <col customWidth="1" min="5" max="5" width="14.0"/>
    <col customWidth="1" min="6" max="6" width="15.5"/>
    <col customWidth="1" min="7" max="7" width="11.13"/>
    <col customWidth="1" min="8" max="8" width="13.13"/>
    <col customWidth="1" min="9" max="26" width="10.75"/>
  </cols>
  <sheetData>
    <row r="1">
      <c r="A1" s="1">
        <v>5.0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  <c r="I1" s="2"/>
      <c r="J1" s="2"/>
      <c r="K1" s="2"/>
    </row>
    <row r="2">
      <c r="A2" s="1">
        <v>4.0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2"/>
      <c r="J2" s="2"/>
      <c r="K2" s="2"/>
    </row>
    <row r="3">
      <c r="A3" s="1">
        <v>3.0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2"/>
      <c r="J3" s="2"/>
      <c r="K3" s="2"/>
    </row>
    <row r="4">
      <c r="A4" s="1">
        <v>2.0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2"/>
      <c r="H4" s="2"/>
      <c r="I4" s="2"/>
      <c r="J4" s="2"/>
      <c r="K4" s="2"/>
    </row>
    <row r="5">
      <c r="A5" s="1">
        <v>1.0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2"/>
      <c r="I5" s="2"/>
      <c r="J5" s="2"/>
      <c r="K5" s="2"/>
    </row>
  </sheetData>
  <dataValidations>
    <dataValidation type="list" allowBlank="1" showErrorMessage="1" sqref="B1:K5">
      <formula1>CONTROL!$A$1:$A$32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 t="s">
        <v>0</v>
      </c>
      <c r="C1" s="1" t="s">
        <v>1</v>
      </c>
      <c r="D1" s="1" t="s">
        <v>7</v>
      </c>
      <c r="E1" s="1" t="s">
        <v>4</v>
      </c>
      <c r="F1" s="1" t="s">
        <v>3</v>
      </c>
      <c r="G1" s="2"/>
      <c r="H1" s="2"/>
      <c r="I1" s="2"/>
      <c r="J1" s="2"/>
      <c r="K1" s="2"/>
    </row>
    <row r="2">
      <c r="A2" s="1">
        <v>4.0</v>
      </c>
      <c r="B2" s="1" t="s">
        <v>11</v>
      </c>
      <c r="C2" s="1" t="s">
        <v>2</v>
      </c>
      <c r="D2" s="1" t="s">
        <v>8</v>
      </c>
      <c r="E2" s="1" t="s">
        <v>6</v>
      </c>
      <c r="F2" s="1" t="s">
        <v>14</v>
      </c>
      <c r="G2" s="1" t="s">
        <v>5</v>
      </c>
      <c r="H2" s="2"/>
      <c r="I2" s="2"/>
      <c r="J2" s="2"/>
      <c r="K2" s="2"/>
    </row>
    <row r="3">
      <c r="A3" s="1">
        <v>3.0</v>
      </c>
      <c r="B3" s="1" t="s">
        <v>16</v>
      </c>
      <c r="C3" s="1" t="s">
        <v>19</v>
      </c>
      <c r="D3" s="1" t="s">
        <v>22</v>
      </c>
      <c r="E3" s="1" t="s">
        <v>10</v>
      </c>
      <c r="F3" s="1" t="s">
        <v>13</v>
      </c>
      <c r="G3" s="1" t="s">
        <v>12</v>
      </c>
      <c r="H3" s="1" t="s">
        <v>15</v>
      </c>
      <c r="I3" s="2"/>
      <c r="J3" s="2"/>
      <c r="K3" s="2"/>
    </row>
    <row r="4">
      <c r="A4" s="1">
        <v>2.0</v>
      </c>
      <c r="B4" s="1" t="s">
        <v>18</v>
      </c>
      <c r="C4" s="1" t="s">
        <v>17</v>
      </c>
      <c r="D4" s="1" t="s">
        <v>24</v>
      </c>
      <c r="E4" s="1" t="s">
        <v>21</v>
      </c>
      <c r="F4" s="1" t="s">
        <v>20</v>
      </c>
      <c r="G4" s="1" t="s">
        <v>23</v>
      </c>
      <c r="H4" s="2"/>
      <c r="I4" s="2"/>
      <c r="J4" s="2"/>
      <c r="K4" s="2"/>
    </row>
    <row r="5">
      <c r="A5" s="1">
        <v>1.0</v>
      </c>
      <c r="B5" s="1" t="s">
        <v>25</v>
      </c>
      <c r="C5" s="1" t="s">
        <v>27</v>
      </c>
      <c r="D5" s="1" t="s">
        <v>26</v>
      </c>
      <c r="E5" s="1" t="s">
        <v>28</v>
      </c>
      <c r="F5" s="1" t="s">
        <v>29</v>
      </c>
      <c r="G5" s="1" t="s">
        <v>30</v>
      </c>
      <c r="H5" s="2"/>
      <c r="I5" s="2"/>
      <c r="J5" s="2"/>
      <c r="K5" s="2"/>
    </row>
  </sheetData>
  <dataValidations>
    <dataValidation type="list" allowBlank="1" showErrorMessage="1" sqref="B1:K5">
      <formula1>CONTROL!$A$1:$A$32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 t="s">
        <v>7</v>
      </c>
      <c r="C1" s="1" t="s">
        <v>6</v>
      </c>
      <c r="D1" s="1" t="s">
        <v>3</v>
      </c>
      <c r="E1" s="1" t="s">
        <v>2</v>
      </c>
      <c r="F1" s="1" t="s">
        <v>1</v>
      </c>
      <c r="G1" s="1" t="s">
        <v>5</v>
      </c>
      <c r="H1" s="1" t="s">
        <v>4</v>
      </c>
      <c r="I1" s="1" t="s">
        <v>0</v>
      </c>
      <c r="J1" s="2"/>
      <c r="K1" s="2"/>
    </row>
    <row r="2">
      <c r="A2" s="1">
        <v>4.0</v>
      </c>
      <c r="B2" s="1" t="s">
        <v>9</v>
      </c>
      <c r="C2" s="1" t="s">
        <v>11</v>
      </c>
      <c r="D2" s="1" t="s">
        <v>16</v>
      </c>
      <c r="E2" s="1" t="s">
        <v>10</v>
      </c>
      <c r="F2" s="1" t="s">
        <v>19</v>
      </c>
      <c r="G2" s="1" t="s">
        <v>15</v>
      </c>
      <c r="H2" s="1" t="s">
        <v>8</v>
      </c>
      <c r="I2" s="2"/>
      <c r="J2" s="2"/>
      <c r="K2" s="2"/>
    </row>
    <row r="3">
      <c r="A3" s="1">
        <v>3.0</v>
      </c>
      <c r="B3" s="1" t="s">
        <v>14</v>
      </c>
      <c r="C3" s="1" t="s">
        <v>21</v>
      </c>
      <c r="D3" s="1" t="s">
        <v>20</v>
      </c>
      <c r="E3" s="1" t="s">
        <v>12</v>
      </c>
      <c r="F3" s="1" t="s">
        <v>23</v>
      </c>
      <c r="G3" s="1" t="s">
        <v>24</v>
      </c>
      <c r="H3" s="1" t="s">
        <v>18</v>
      </c>
      <c r="I3" s="1" t="s">
        <v>17</v>
      </c>
      <c r="J3" s="2"/>
      <c r="K3" s="2"/>
    </row>
    <row r="4">
      <c r="A4" s="1">
        <v>2.0</v>
      </c>
      <c r="B4" s="1" t="s">
        <v>13</v>
      </c>
      <c r="C4" s="1" t="s">
        <v>30</v>
      </c>
      <c r="D4" s="1" t="s">
        <v>22</v>
      </c>
      <c r="E4" s="2"/>
      <c r="F4" s="2"/>
      <c r="G4" s="2"/>
      <c r="H4" s="2"/>
      <c r="I4" s="2"/>
      <c r="J4" s="2"/>
      <c r="K4" s="2"/>
    </row>
    <row r="5">
      <c r="A5" s="1">
        <v>1.0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"/>
      <c r="H5" s="2"/>
      <c r="I5" s="2"/>
      <c r="J5" s="2"/>
      <c r="K5" s="2"/>
    </row>
  </sheetData>
  <dataValidations>
    <dataValidation type="list" allowBlank="1" showErrorMessage="1" sqref="B1:K5">
      <formula1>CONTROL!$A$1:$A$32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5" max="5" width="21.38"/>
  </cols>
  <sheetData>
    <row r="1">
      <c r="A1" s="3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4" t="s">
        <v>36</v>
      </c>
    </row>
    <row r="2">
      <c r="A2" s="5" t="s">
        <v>7</v>
      </c>
      <c r="B2" s="1">
        <v>4.0</v>
      </c>
      <c r="C2" s="1">
        <v>5.0</v>
      </c>
      <c r="D2" s="1">
        <v>5.0</v>
      </c>
      <c r="E2" s="2">
        <f t="shared" ref="E2:E32" si="1">ROUND(DIVIDE(SUM(B2:D2), 3),0)</f>
        <v>5</v>
      </c>
      <c r="F2" s="2">
        <f t="shared" ref="F2:F32" si="2">DIVIDE(SUM(C2:E2), 3)</f>
        <v>5</v>
      </c>
    </row>
    <row r="3">
      <c r="A3" s="5" t="s">
        <v>16</v>
      </c>
      <c r="B3" s="1">
        <v>3.0</v>
      </c>
      <c r="C3" s="1">
        <v>3.0</v>
      </c>
      <c r="D3" s="1">
        <v>4.0</v>
      </c>
      <c r="E3" s="2">
        <f t="shared" si="1"/>
        <v>3</v>
      </c>
      <c r="F3" s="2">
        <f t="shared" si="2"/>
        <v>3.333333333</v>
      </c>
    </row>
    <row r="4">
      <c r="A4" s="5" t="s">
        <v>25</v>
      </c>
      <c r="B4" s="1">
        <v>1.0</v>
      </c>
      <c r="C4" s="1">
        <v>1.0</v>
      </c>
      <c r="D4" s="1">
        <v>1.0</v>
      </c>
      <c r="E4" s="2">
        <f t="shared" si="1"/>
        <v>1</v>
      </c>
      <c r="F4" s="2">
        <f t="shared" si="2"/>
        <v>1</v>
      </c>
    </row>
    <row r="5">
      <c r="A5" s="5" t="s">
        <v>5</v>
      </c>
      <c r="B5" s="1">
        <v>5.0</v>
      </c>
      <c r="C5" s="1">
        <v>4.0</v>
      </c>
      <c r="D5" s="1">
        <v>5.0</v>
      </c>
      <c r="E5" s="2">
        <f t="shared" si="1"/>
        <v>5</v>
      </c>
      <c r="F5" s="2">
        <f t="shared" si="2"/>
        <v>4.666666667</v>
      </c>
    </row>
    <row r="6">
      <c r="A6" s="5" t="s">
        <v>8</v>
      </c>
      <c r="B6" s="1">
        <v>4.0</v>
      </c>
      <c r="C6" s="1">
        <v>4.0</v>
      </c>
      <c r="D6" s="1">
        <v>4.0</v>
      </c>
      <c r="E6" s="2">
        <f t="shared" si="1"/>
        <v>4</v>
      </c>
      <c r="F6" s="2">
        <f t="shared" si="2"/>
        <v>4</v>
      </c>
    </row>
    <row r="7">
      <c r="A7" s="5" t="s">
        <v>30</v>
      </c>
      <c r="B7" s="1">
        <v>1.0</v>
      </c>
      <c r="C7" s="1">
        <v>1.0</v>
      </c>
      <c r="D7" s="1">
        <v>2.0</v>
      </c>
      <c r="E7" s="2">
        <f t="shared" si="1"/>
        <v>1</v>
      </c>
      <c r="F7" s="2">
        <f t="shared" si="2"/>
        <v>1.333333333</v>
      </c>
    </row>
    <row r="8">
      <c r="A8" s="5" t="s">
        <v>22</v>
      </c>
      <c r="B8" s="1">
        <v>2.0</v>
      </c>
      <c r="C8" s="1">
        <v>3.0</v>
      </c>
      <c r="D8" s="1">
        <v>2.0</v>
      </c>
      <c r="E8" s="2">
        <f t="shared" si="1"/>
        <v>2</v>
      </c>
      <c r="F8" s="2">
        <f t="shared" si="2"/>
        <v>2.333333333</v>
      </c>
    </row>
    <row r="9">
      <c r="A9" s="5" t="s">
        <v>2</v>
      </c>
      <c r="B9" s="1">
        <v>5.0</v>
      </c>
      <c r="C9" s="1">
        <v>4.0</v>
      </c>
      <c r="D9" s="1">
        <v>5.0</v>
      </c>
      <c r="E9" s="2">
        <f t="shared" si="1"/>
        <v>5</v>
      </c>
      <c r="F9" s="2">
        <f t="shared" si="2"/>
        <v>4.666666667</v>
      </c>
    </row>
    <row r="10">
      <c r="A10" s="5" t="s">
        <v>4</v>
      </c>
      <c r="B10" s="1">
        <v>5.0</v>
      </c>
      <c r="C10" s="1">
        <v>5.0</v>
      </c>
      <c r="D10" s="1">
        <v>5.0</v>
      </c>
      <c r="E10" s="2">
        <f t="shared" si="1"/>
        <v>5</v>
      </c>
      <c r="F10" s="2">
        <f t="shared" si="2"/>
        <v>5</v>
      </c>
    </row>
    <row r="11">
      <c r="A11" s="5" t="s">
        <v>0</v>
      </c>
      <c r="B11" s="1">
        <v>5.0</v>
      </c>
      <c r="C11" s="1">
        <v>5.0</v>
      </c>
      <c r="D11" s="1">
        <v>5.0</v>
      </c>
      <c r="E11" s="2">
        <f t="shared" si="1"/>
        <v>5</v>
      </c>
      <c r="F11" s="2">
        <f t="shared" si="2"/>
        <v>5</v>
      </c>
    </row>
    <row r="12">
      <c r="A12" s="3" t="s">
        <v>14</v>
      </c>
      <c r="B12" s="1">
        <v>3.0</v>
      </c>
      <c r="C12" s="1">
        <v>4.0</v>
      </c>
      <c r="D12" s="1">
        <v>3.0</v>
      </c>
      <c r="E12" s="2">
        <f t="shared" si="1"/>
        <v>3</v>
      </c>
      <c r="F12" s="2">
        <f t="shared" si="2"/>
        <v>3.333333333</v>
      </c>
    </row>
    <row r="13">
      <c r="A13" s="5" t="s">
        <v>20</v>
      </c>
      <c r="B13" s="1">
        <v>2.0</v>
      </c>
      <c r="C13" s="1">
        <v>2.0</v>
      </c>
      <c r="D13" s="1">
        <v>3.0</v>
      </c>
      <c r="E13" s="2">
        <f t="shared" si="1"/>
        <v>2</v>
      </c>
      <c r="F13" s="2">
        <f t="shared" si="2"/>
        <v>2.333333333</v>
      </c>
    </row>
    <row r="14">
      <c r="A14" s="5" t="s">
        <v>19</v>
      </c>
      <c r="B14" s="1">
        <v>3.0</v>
      </c>
      <c r="C14" s="1">
        <v>3.0</v>
      </c>
      <c r="D14" s="1">
        <v>4.0</v>
      </c>
      <c r="E14" s="2">
        <f t="shared" si="1"/>
        <v>3</v>
      </c>
      <c r="F14" s="2">
        <f t="shared" si="2"/>
        <v>3.333333333</v>
      </c>
    </row>
    <row r="15">
      <c r="A15" s="5" t="s">
        <v>26</v>
      </c>
      <c r="B15" s="1">
        <v>1.0</v>
      </c>
      <c r="C15" s="1">
        <v>1.0</v>
      </c>
      <c r="D15" s="1">
        <v>1.0</v>
      </c>
      <c r="E15" s="2">
        <f t="shared" si="1"/>
        <v>1</v>
      </c>
      <c r="F15" s="2">
        <f t="shared" si="2"/>
        <v>1</v>
      </c>
    </row>
    <row r="16">
      <c r="A16" s="5" t="s">
        <v>11</v>
      </c>
      <c r="B16" s="1">
        <v>4.0</v>
      </c>
      <c r="C16" s="1">
        <v>4.0</v>
      </c>
      <c r="D16" s="1">
        <v>4.0</v>
      </c>
      <c r="E16" s="2">
        <f t="shared" si="1"/>
        <v>4</v>
      </c>
      <c r="F16" s="2">
        <f t="shared" si="2"/>
        <v>4</v>
      </c>
    </row>
    <row r="17">
      <c r="A17" s="5" t="s">
        <v>10</v>
      </c>
      <c r="B17" s="1">
        <v>4.0</v>
      </c>
      <c r="C17" s="1">
        <v>3.0</v>
      </c>
      <c r="D17" s="1">
        <v>4.0</v>
      </c>
      <c r="E17" s="2">
        <f t="shared" si="1"/>
        <v>4</v>
      </c>
      <c r="F17" s="2">
        <f t="shared" si="2"/>
        <v>3.666666667</v>
      </c>
    </row>
    <row r="18">
      <c r="A18" s="5" t="s">
        <v>29</v>
      </c>
      <c r="B18" s="1">
        <v>1.0</v>
      </c>
      <c r="C18" s="1">
        <v>1.0</v>
      </c>
      <c r="D18" s="1">
        <v>1.0</v>
      </c>
      <c r="E18" s="2">
        <f t="shared" si="1"/>
        <v>1</v>
      </c>
      <c r="F18" s="2">
        <f t="shared" si="2"/>
        <v>1</v>
      </c>
    </row>
    <row r="19">
      <c r="A19" s="5" t="s">
        <v>28</v>
      </c>
      <c r="B19" s="1">
        <v>1.0</v>
      </c>
      <c r="C19" s="1">
        <v>1.0</v>
      </c>
      <c r="D19" s="1">
        <v>1.0</v>
      </c>
      <c r="E19" s="2">
        <f t="shared" si="1"/>
        <v>1</v>
      </c>
      <c r="F19" s="2">
        <f t="shared" si="2"/>
        <v>1</v>
      </c>
    </row>
    <row r="20">
      <c r="A20" s="5" t="s">
        <v>12</v>
      </c>
      <c r="B20" s="1">
        <v>4.0</v>
      </c>
      <c r="C20" s="1">
        <v>3.0</v>
      </c>
      <c r="D20" s="1">
        <v>3.0</v>
      </c>
      <c r="E20" s="2">
        <f t="shared" si="1"/>
        <v>3</v>
      </c>
      <c r="F20" s="2">
        <f t="shared" si="2"/>
        <v>3</v>
      </c>
    </row>
    <row r="21">
      <c r="A21" s="5" t="s">
        <v>9</v>
      </c>
      <c r="B21" s="1">
        <v>4.0</v>
      </c>
      <c r="C21" s="1">
        <v>3.0</v>
      </c>
      <c r="D21" s="1">
        <v>4.0</v>
      </c>
      <c r="E21" s="2">
        <f t="shared" si="1"/>
        <v>4</v>
      </c>
      <c r="F21" s="2">
        <f t="shared" si="2"/>
        <v>3.666666667</v>
      </c>
    </row>
    <row r="22">
      <c r="A22" s="5" t="s">
        <v>15</v>
      </c>
      <c r="B22" s="1">
        <v>3.0</v>
      </c>
      <c r="C22" s="1">
        <v>3.0</v>
      </c>
      <c r="D22" s="1">
        <v>4.0</v>
      </c>
      <c r="E22" s="2">
        <f t="shared" si="1"/>
        <v>3</v>
      </c>
      <c r="F22" s="2">
        <f t="shared" si="2"/>
        <v>3.333333333</v>
      </c>
    </row>
    <row r="23">
      <c r="A23" s="5" t="s">
        <v>13</v>
      </c>
      <c r="B23" s="1">
        <v>3.0</v>
      </c>
      <c r="C23" s="1">
        <v>3.0</v>
      </c>
      <c r="D23" s="1">
        <v>2.0</v>
      </c>
      <c r="E23" s="2">
        <f t="shared" si="1"/>
        <v>3</v>
      </c>
      <c r="F23" s="2">
        <f t="shared" si="2"/>
        <v>2.666666667</v>
      </c>
    </row>
    <row r="24">
      <c r="A24" s="5" t="s">
        <v>6</v>
      </c>
      <c r="B24" s="1">
        <v>4.0</v>
      </c>
      <c r="C24" s="1">
        <v>4.0</v>
      </c>
      <c r="D24" s="1">
        <v>5.0</v>
      </c>
      <c r="E24" s="2">
        <f t="shared" si="1"/>
        <v>4</v>
      </c>
      <c r="F24" s="2">
        <f t="shared" si="2"/>
        <v>4.333333333</v>
      </c>
    </row>
    <row r="25">
      <c r="A25" s="5" t="s">
        <v>24</v>
      </c>
      <c r="B25" s="1">
        <v>2.0</v>
      </c>
      <c r="C25" s="1">
        <v>2.0</v>
      </c>
      <c r="D25" s="1">
        <v>3.0</v>
      </c>
      <c r="E25" s="2">
        <f t="shared" si="1"/>
        <v>2</v>
      </c>
      <c r="F25" s="2">
        <f t="shared" si="2"/>
        <v>2.333333333</v>
      </c>
    </row>
    <row r="26">
      <c r="A26" s="5" t="s">
        <v>18</v>
      </c>
      <c r="B26" s="1">
        <v>3.0</v>
      </c>
      <c r="C26" s="1">
        <v>2.0</v>
      </c>
      <c r="D26" s="1">
        <v>3.0</v>
      </c>
      <c r="E26" s="2">
        <f t="shared" si="1"/>
        <v>3</v>
      </c>
      <c r="F26" s="2">
        <f t="shared" si="2"/>
        <v>2.666666667</v>
      </c>
    </row>
    <row r="27">
      <c r="A27" s="5" t="s">
        <v>3</v>
      </c>
      <c r="B27" s="1">
        <v>5.0</v>
      </c>
      <c r="C27" s="1">
        <v>5.0</v>
      </c>
      <c r="D27" s="1">
        <v>5.0</v>
      </c>
      <c r="E27" s="2">
        <f t="shared" si="1"/>
        <v>5</v>
      </c>
      <c r="F27" s="2">
        <f t="shared" si="2"/>
        <v>5</v>
      </c>
    </row>
    <row r="28">
      <c r="A28" s="5" t="s">
        <v>21</v>
      </c>
      <c r="B28" s="1">
        <v>2.0</v>
      </c>
      <c r="C28" s="1">
        <v>2.0</v>
      </c>
      <c r="D28" s="1">
        <v>3.0</v>
      </c>
      <c r="E28" s="2">
        <f t="shared" si="1"/>
        <v>2</v>
      </c>
      <c r="F28" s="2">
        <f t="shared" si="2"/>
        <v>2.333333333</v>
      </c>
    </row>
    <row r="29">
      <c r="A29" s="5" t="s">
        <v>27</v>
      </c>
      <c r="B29" s="1">
        <v>1.0</v>
      </c>
      <c r="C29" s="1">
        <v>1.0</v>
      </c>
      <c r="D29" s="1">
        <v>1.0</v>
      </c>
      <c r="E29" s="2">
        <f t="shared" si="1"/>
        <v>1</v>
      </c>
      <c r="F29" s="2">
        <f t="shared" si="2"/>
        <v>1</v>
      </c>
    </row>
    <row r="30">
      <c r="A30" s="5" t="s">
        <v>1</v>
      </c>
      <c r="B30" s="1">
        <v>5.0</v>
      </c>
      <c r="C30" s="1">
        <v>5.0</v>
      </c>
      <c r="D30" s="1">
        <v>5.0</v>
      </c>
      <c r="E30" s="2">
        <f t="shared" si="1"/>
        <v>5</v>
      </c>
      <c r="F30" s="2">
        <f t="shared" si="2"/>
        <v>5</v>
      </c>
    </row>
    <row r="31">
      <c r="A31" s="5" t="s">
        <v>17</v>
      </c>
      <c r="B31" s="1">
        <v>3.0</v>
      </c>
      <c r="C31" s="1">
        <v>2.0</v>
      </c>
      <c r="D31" s="1">
        <v>3.0</v>
      </c>
      <c r="E31" s="2">
        <f t="shared" si="1"/>
        <v>3</v>
      </c>
      <c r="F31" s="2">
        <f t="shared" si="2"/>
        <v>2.666666667</v>
      </c>
    </row>
    <row r="32">
      <c r="A32" s="5" t="s">
        <v>23</v>
      </c>
      <c r="B32" s="1">
        <v>2.0</v>
      </c>
      <c r="C32" s="1">
        <v>2.0</v>
      </c>
      <c r="D32" s="1">
        <v>3.0</v>
      </c>
      <c r="E32" s="2">
        <f t="shared" si="1"/>
        <v>2</v>
      </c>
      <c r="F32" s="2">
        <f t="shared" si="2"/>
        <v>2.333333333</v>
      </c>
    </row>
  </sheetData>
  <autoFilter ref="$A$1:$E$3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0.13"/>
    <col customWidth="1" min="3" max="3" width="14.38"/>
    <col customWidth="1" min="4" max="4" width="15.5"/>
    <col customWidth="1" min="5" max="5" width="12.0"/>
    <col customWidth="1" min="6" max="6" width="14.0"/>
    <col customWidth="1" min="7" max="7" width="12.13"/>
    <col customWidth="1" min="8" max="8" width="11.63"/>
    <col customWidth="1" min="9" max="9" width="13.5"/>
  </cols>
  <sheetData>
    <row r="1">
      <c r="A1" s="1" t="s">
        <v>37</v>
      </c>
    </row>
    <row r="2">
      <c r="A2" s="1">
        <v>5.0</v>
      </c>
      <c r="B2" s="1" t="s">
        <v>7</v>
      </c>
      <c r="C2" s="1" t="s">
        <v>5</v>
      </c>
      <c r="D2" s="1" t="s">
        <v>1</v>
      </c>
      <c r="E2" s="1" t="s">
        <v>2</v>
      </c>
      <c r="F2" s="1" t="s">
        <v>4</v>
      </c>
      <c r="G2" s="1" t="s">
        <v>0</v>
      </c>
      <c r="H2" s="1" t="s">
        <v>3</v>
      </c>
      <c r="I2" s="2"/>
      <c r="J2" s="2"/>
      <c r="K2" s="2"/>
    </row>
    <row r="3">
      <c r="A3" s="1">
        <v>4.0</v>
      </c>
      <c r="B3" s="1" t="s">
        <v>8</v>
      </c>
      <c r="C3" s="1" t="s">
        <v>10</v>
      </c>
      <c r="D3" s="1" t="s">
        <v>11</v>
      </c>
      <c r="E3" s="1" t="s">
        <v>9</v>
      </c>
      <c r="F3" s="1" t="s">
        <v>6</v>
      </c>
      <c r="G3" s="2"/>
      <c r="H3" s="2"/>
      <c r="I3" s="2"/>
      <c r="J3" s="2"/>
      <c r="K3" s="2"/>
    </row>
    <row r="4">
      <c r="A4" s="1">
        <v>3.0</v>
      </c>
      <c r="B4" s="1" t="s">
        <v>14</v>
      </c>
      <c r="C4" s="1" t="s">
        <v>16</v>
      </c>
      <c r="D4" s="1" t="s">
        <v>19</v>
      </c>
      <c r="E4" s="1" t="s">
        <v>12</v>
      </c>
      <c r="F4" s="1" t="s">
        <v>15</v>
      </c>
      <c r="G4" s="1" t="s">
        <v>13</v>
      </c>
      <c r="H4" s="1" t="s">
        <v>18</v>
      </c>
      <c r="I4" s="1" t="s">
        <v>17</v>
      </c>
      <c r="J4" s="2"/>
      <c r="K4" s="2"/>
    </row>
    <row r="5">
      <c r="A5" s="1">
        <v>2.0</v>
      </c>
      <c r="B5" s="1" t="s">
        <v>22</v>
      </c>
      <c r="C5" s="1" t="s">
        <v>20</v>
      </c>
      <c r="D5" s="1" t="s">
        <v>24</v>
      </c>
      <c r="E5" s="1" t="s">
        <v>21</v>
      </c>
      <c r="F5" s="1" t="s">
        <v>23</v>
      </c>
      <c r="G5" s="2"/>
      <c r="H5" s="2"/>
      <c r="I5" s="2"/>
      <c r="J5" s="2"/>
      <c r="K5" s="2"/>
    </row>
    <row r="6">
      <c r="A6" s="1">
        <v>1.0</v>
      </c>
      <c r="B6" s="1" t="s">
        <v>25</v>
      </c>
      <c r="C6" s="1" t="s">
        <v>30</v>
      </c>
      <c r="D6" s="1" t="s">
        <v>28</v>
      </c>
      <c r="E6" s="1" t="s">
        <v>29</v>
      </c>
      <c r="F6" s="1" t="s">
        <v>26</v>
      </c>
      <c r="G6" s="1" t="s">
        <v>27</v>
      </c>
      <c r="H6" s="2"/>
      <c r="I6" s="2"/>
      <c r="J6" s="2"/>
      <c r="K6" s="2"/>
    </row>
  </sheetData>
  <dataValidations>
    <dataValidation type="list" allowBlank="1" showErrorMessage="1" sqref="B2:K6">
      <formula1>CONTROL!$A$1:$A$32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>
        <v>0.0</v>
      </c>
    </row>
    <row r="2">
      <c r="A2" s="1" t="s">
        <v>39</v>
      </c>
      <c r="B2" s="1">
        <v>0.0</v>
      </c>
    </row>
    <row r="3">
      <c r="A3" s="1" t="s">
        <v>40</v>
      </c>
      <c r="B3" s="1">
        <v>-1.0</v>
      </c>
    </row>
    <row r="4">
      <c r="A4" s="1" t="s">
        <v>41</v>
      </c>
      <c r="B4" s="1">
        <v>-1.0</v>
      </c>
    </row>
    <row r="5">
      <c r="A5" s="1" t="s">
        <v>42</v>
      </c>
      <c r="B5" s="1">
        <v>-1.0</v>
      </c>
    </row>
    <row r="6">
      <c r="A6" s="1" t="s">
        <v>43</v>
      </c>
      <c r="B6" s="1">
        <v>-2.0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2">
        <f>IFERROR(__xludf.DUMMYFUNCTION("IF(REGEXMATCH(TEXTJOIN("","", TRUE, Jawn!B$1:K$5), A:A), INDEX(Jawn!A$1:A$5, Row()) + IF(REGEXMATCH(TEXTJOIN("","", TRUE, Tension!B$1:K$5), A:A), INDEX(Tension!A$1:A$5, ROW())))"),10.0)</f>
        <v>10</v>
      </c>
    </row>
    <row r="2">
      <c r="A2" s="3" t="s">
        <v>14</v>
      </c>
      <c r="B2" s="2">
        <f>IFERROR(__xludf.DUMMYFUNCTION("IF(REGEXMATCH(TEXTJOIN("","", TRUE, Jawn!B$1:K$5), A:A), INDEX(Jawn!A$1:A$5, Row()) + IF(REGEXMATCH(TEXTJOIN("","", TRUE, Tension!B$1:K$5), A:A), INDEX(Tension!A$1:A$5, ROW())))"),8.0)</f>
        <v>8</v>
      </c>
    </row>
    <row r="3">
      <c r="A3" s="5" t="s">
        <v>16</v>
      </c>
      <c r="B3" s="2">
        <f>IFERROR(__xludf.DUMMYFUNCTION("IF(REGEXMATCH(TEXTJOIN("","", TRUE, Jawn!B$1:K$5), A:A), INDEX(Jawn!A$1:A$5, Row()) + IF(REGEXMATCH(TEXTJOIN("","", TRUE, Tension!B$1:K$5), A:A), INDEX(Tension!A$1:A$5, ROW())))"),6.0)</f>
        <v>6</v>
      </c>
    </row>
    <row r="4">
      <c r="A4" s="5" t="s">
        <v>25</v>
      </c>
      <c r="B4" s="2">
        <f>IFERROR(__xludf.DUMMYFUNCTION("IF(REGEXMATCH(TEXTJOIN("","", TRUE, Jawn!B$1:K$5), A:A), INDEX(Jawn!A$1:A$5, Row()) + IF(REGEXMATCH(TEXTJOIN("","", TRUE, Tension!B$1:K$5), A:A), INDEX(Tension!A$1:A$5, ROW())))"),4.0)</f>
        <v>4</v>
      </c>
    </row>
    <row r="5">
      <c r="A5" s="5" t="s">
        <v>5</v>
      </c>
      <c r="B5" s="2">
        <f>IFERROR(__xludf.DUMMYFUNCTION("IF(REGEXMATCH(TEXTJOIN("","", TRUE, Jawn!B$1:K$5), A:A), INDEX(Jawn!A$1:A$5, ROW()), ""Not found"") + IF(REGEXMATCH(TEXTJOIN("","", TRUE, Tension!B$1:K$5), A:A), INDEX(Tension!A$1:A$5, ROW()), ""Not found"")"),2.0)</f>
        <v>2</v>
      </c>
    </row>
    <row r="6">
      <c r="A6" s="5" t="s">
        <v>8</v>
      </c>
      <c r="B6" s="2" t="str">
        <f>IFERROR(__xludf.DUMMYFUNCTION("IF(REGEXMATCH(TEXTJOIN("","", TRUE, Jawn!B$1:K$5), A:A), INDEX(Jawn!A$1:A$5, Row()) + IF(REGEXMATCH(TEXTJOIN("","", TRUE, Tension!B$1:K$5), A:A), INDEX(Tension!A$1:A$5, ROW())))"),"#NUM!")</f>
        <v>#NUM!</v>
      </c>
    </row>
    <row r="7">
      <c r="A7" s="5" t="s">
        <v>30</v>
      </c>
      <c r="B7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8">
      <c r="A8" s="5" t="s">
        <v>22</v>
      </c>
      <c r="B8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9">
      <c r="A9" s="5" t="s">
        <v>2</v>
      </c>
      <c r="B9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0">
      <c r="A10" s="5" t="s">
        <v>4</v>
      </c>
      <c r="B10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1">
      <c r="A11" s="5" t="s">
        <v>0</v>
      </c>
      <c r="B11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2">
      <c r="A12" s="5" t="s">
        <v>20</v>
      </c>
      <c r="B12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3">
      <c r="A13" s="5" t="s">
        <v>19</v>
      </c>
      <c r="B13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4">
      <c r="A14" s="5" t="s">
        <v>26</v>
      </c>
      <c r="B14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5">
      <c r="A15" s="5" t="s">
        <v>11</v>
      </c>
      <c r="B15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6">
      <c r="A16" s="5" t="s">
        <v>10</v>
      </c>
      <c r="B16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7">
      <c r="A17" s="5" t="s">
        <v>29</v>
      </c>
      <c r="B17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8">
      <c r="A18" s="5" t="s">
        <v>28</v>
      </c>
      <c r="B18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19">
      <c r="A19" s="5" t="s">
        <v>12</v>
      </c>
      <c r="B19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20">
      <c r="A20" s="5" t="s">
        <v>9</v>
      </c>
      <c r="B20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21">
      <c r="A21" s="5" t="s">
        <v>15</v>
      </c>
      <c r="B21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22">
      <c r="A22" s="5" t="s">
        <v>13</v>
      </c>
      <c r="B22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23">
      <c r="A23" s="5" t="s">
        <v>6</v>
      </c>
      <c r="B23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24">
      <c r="A24" s="5" t="s">
        <v>24</v>
      </c>
      <c r="B24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25">
      <c r="A25" s="5" t="s">
        <v>18</v>
      </c>
      <c r="B25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26">
      <c r="A26" s="5" t="s">
        <v>3</v>
      </c>
      <c r="B26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27">
      <c r="A27" s="5" t="s">
        <v>21</v>
      </c>
      <c r="B27" s="2" t="str">
        <f>IFERROR(__xludf.DUMMYFUNCTION("IF(REGEXMATCH(TEXTJOIN("","", TRUE, Jawn!B$1:K$5), A:A), INDEX(Jawn!A$1:A$5, ROW()), ""Not found"") + IF(REGEXMATCH(TEXTJOIN("","", TRUE, Tension!B$1:K$5), A:A), INDEX(Tension!A$1:A$5, ROW()), ""Not found"")"),"#NUM!")</f>
        <v>#NUM!</v>
      </c>
    </row>
    <row r="28">
      <c r="A28" s="5" t="s">
        <v>27</v>
      </c>
      <c r="B28" s="2" t="str">
        <f>IFERROR(__xludf.DUMMYFUNCTION("IF(REGEXMATCH(TEXTJOIN("","", TRUE, Jawn!B$1:K$5), A28), INDEX(Jawn!A$1:A$5, ROW()), ""Not found"") + IF(REGEXMATCH(TEXTJOIN("","", TRUE, Tension!B$1:K$5), A28), INDEX(Tension!A$1:A$5, ROW()), ""Not found"")"),"#NUM!")</f>
        <v>#NUM!</v>
      </c>
    </row>
    <row r="29">
      <c r="A29" s="5" t="s">
        <v>1</v>
      </c>
      <c r="B29" s="2" t="str">
        <f>IFERROR(__xludf.DUMMYFUNCTION("IF(REGEXMATCH(TEXTJOIN("","", TRUE, Jawn!B$1:K$5), A29), INDEX(Jawn!A$1:A$5, ROW()), ""Not found"") + IF(REGEXMATCH(TEXTJOIN("","", TRUE, Tension!B$1:K$5), A29), INDEX(Tension!A$1:A$5, ROW()), ""Not found"")"),"#NUM!")</f>
        <v>#NUM!</v>
      </c>
    </row>
    <row r="30">
      <c r="A30" s="5" t="s">
        <v>17</v>
      </c>
      <c r="B30" s="2" t="str">
        <f>VLOOKUP(A30, Jawn!B1:K5,Jawn!A1:A5)</f>
        <v>#VALUE!</v>
      </c>
    </row>
    <row r="31">
      <c r="A31" s="5" t="s">
        <v>23</v>
      </c>
      <c r="B31" s="2" t="str">
        <f>IFERROR(__xludf.DUMMYFUNCTION("ARRAYFORMULA(IFERROR(FILTER(Jawn!A:A,Jawn!B$1:K$5=A31), ""NONE""))"),"NONE")</f>
        <v>NONE</v>
      </c>
    </row>
  </sheetData>
  <drawing r:id="rId1"/>
</worksheet>
</file>